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defaultThemeVersion="166925"/>
  <mc:AlternateContent xmlns:mc="http://schemas.openxmlformats.org/markup-compatibility/2006">
    <mc:Choice Requires="x15">
      <x15ac:absPath xmlns:x15ac="http://schemas.microsoft.com/office/spreadsheetml/2010/11/ac" url="D:\working\waccache\DM3PEPF00013D52\EXCELCNV\04700ec7-a951-4406-8983-8eafc6b1c724\"/>
    </mc:Choice>
  </mc:AlternateContent>
  <xr:revisionPtr revIDLastSave="0" documentId="8_{1F8B46C5-5180-48D8-95D9-C405D63FEA65}" xr6:coauthVersionLast="47" xr6:coauthVersionMax="47" xr10:uidLastSave="{00000000-0000-0000-0000-000000000000}"/>
  <bookViews>
    <workbookView xWindow="-60" yWindow="-60" windowWidth="15480" windowHeight="11640" xr2:uid="{D032D4CE-05DB-4961-A6FD-A2270B7ADAFA}"/>
  </bookViews>
  <sheets>
    <sheet name="Sheet1" sheetId="1" r:id="rId1"/>
    <sheet name="Sheet2" sheetId="2" r:id="rId2"/>
    <sheet name="Sheet3" sheetId="3"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5" i="1"/>
  <c r="J9" i="1"/>
  <c r="J12" i="1"/>
  <c r="J22" i="1"/>
  <c r="J30" i="1"/>
  <c r="J33" i="1"/>
  <c r="J36" i="1"/>
  <c r="J39" i="1"/>
  <c r="J42" i="1"/>
  <c r="J47" i="1"/>
  <c r="J51" i="1"/>
  <c r="J54" i="1"/>
  <c r="J59" i="1"/>
  <c r="J62" i="1"/>
  <c r="J66" i="1"/>
  <c r="J70" i="1"/>
  <c r="J73" i="1"/>
  <c r="J76" i="1"/>
  <c r="J78" i="1"/>
  <c r="J80" i="1"/>
  <c r="J85" i="1"/>
  <c r="J92" i="1"/>
  <c r="J100" i="1"/>
  <c r="J107" i="1"/>
  <c r="J118" i="1"/>
  <c r="J125" i="1"/>
  <c r="J128" i="1"/>
  <c r="J133" i="1"/>
  <c r="J142" i="1"/>
  <c r="J146" i="1"/>
  <c r="J150" i="1"/>
  <c r="J153" i="1"/>
  <c r="J156" i="1"/>
  <c r="J167" i="1"/>
  <c r="J174" i="1"/>
  <c r="J179" i="1"/>
</calcChain>
</file>

<file path=xl/sharedStrings.xml><?xml version="1.0" encoding="utf-8"?>
<sst xmlns="http://schemas.openxmlformats.org/spreadsheetml/2006/main" count="155" uniqueCount="102">
  <si>
    <t>Date</t>
  </si>
  <si>
    <t>Task Name</t>
  </si>
  <si>
    <t>Task turnaround Time </t>
  </si>
  <si>
    <t>% of Contribution</t>
  </si>
  <si>
    <t>Time spent on Code Review</t>
  </si>
  <si>
    <t xml:space="preserve">No of Defects  </t>
  </si>
  <si>
    <t xml:space="preserve">Blocked Time </t>
  </si>
  <si>
    <t>Frequency of TASK Switch</t>
  </si>
  <si>
    <t>Time taken for code churn</t>
  </si>
  <si>
    <t>Total Time Spent</t>
  </si>
  <si>
    <t>Effective Work during Block</t>
  </si>
  <si>
    <t>Defect-22071 - New Requirement - Simplex - Duplex Page Implementation
*Analysing Page number issue in blank pages in Simplex and Duplex forms</t>
  </si>
  <si>
    <t>Meeting</t>
  </si>
  <si>
    <t>Defect-22233
1.5 forms mapping updated.
2.13 tags added.
3.2 forms dsd updated.</t>
  </si>
  <si>
    <t>Defect-22342-CT_EN_SG0ACAPPL-CT - FORM - SG0ACAPPL  Issue
1.Alignment issues fixed</t>
  </si>
  <si>
    <t>Defect-22340-CT_EN_CG0ADDEML-CT - FORM - CG0ADDEML Issue
1.Alignment issues fixed</t>
  </si>
  <si>
    <t>Defect-22337-CT_EN_OG0A755RE-CT - FORM - OG0A755RE Issue
1.Alignment issues fixed.</t>
  </si>
  <si>
    <t>Defect-22368-CT_EN_SG0ATST47-SG0ATST47-CT Init - Info Request to CP
1.Content mismatch issue fixed.</t>
  </si>
  <si>
    <t>Defect-22302-CT_EN_OG0AUNCLA-OG0AUNCLA - Waiver of Right to a Fair Hearing – Unclaimed Property
1.Alignment issues fixed.</t>
  </si>
  <si>
    <t>Defect-22280-CT_EN_OG0A4SSUP-ENF - NOTICES - Mapping update
1.Mapping updated for one form
2.1 tag added</t>
  </si>
  <si>
    <t>Defect-22173-CT_EN_SG0APREP1-ENF - Mapping changes
1.1 child list added
2.5 tags added
3.1 inline script added.</t>
  </si>
  <si>
    <t>Defect-22064-CT_EN_OG0AGENWD-OG0AGENWD_Notice of Lien and Withholding Withdrawal-Generic - Recipient name address not populating and Claim number is user input tag.
1.Mapping updated
2.8tags added
3.Address conditions updated</t>
  </si>
  <si>
    <t>Meeting(Child support)</t>
  </si>
  <si>
    <t>Defect-19929-CT_RT_SLOG-SLOG - Need to Implement PDF Report showing via SmartComm
1.Alignment issues fixed.</t>
  </si>
  <si>
    <t>Defect-22374
1.35 tags mapping updated
2.inline script added for inline table</t>
  </si>
  <si>
    <t>Defect-22272-CT_EN_SG0AFMPCO-SG0AFMPCO_Issues
1.Design issues fixed</t>
  </si>
  <si>
    <t>Defect-22280-CT_EN_OG0AUNCLN-ENF - NOTICES - Mapping update
1.Mapping updated for one form
2.1 tag added</t>
  </si>
  <si>
    <t>Defect-21761-CT_ES_OG0F0175C-OG0F0175C-Court Testimony Sheet - Last Release Field Value Not Displayed
1.Mapping updated for one form
2.3 tags added</t>
  </si>
  <si>
    <t>Defect-22277-CT_EN_OG000N617-OG000N617-OCSS Regional Office SDU – Check Transmittal (Sent by OCSS to the State Disbursement Unit (SDU) of payment received)
1.Alignment issues fixed</t>
  </si>
  <si>
    <t>Defect-21620 - New Requirement - Footer list Implementation in main form and Packet forms.
*Analysing list implementation in parent form and packet forms.</t>
  </si>
  <si>
    <t>Page number Analysis and Documentation for Defect 22772</t>
  </si>
  <si>
    <t xml:space="preserve">Choice list Analysis and Documentation </t>
  </si>
  <si>
    <t>Defect-51733
*Alignment issues and Dropdown modification</t>
  </si>
  <si>
    <t>Issue clarification,pretesting and Decided to grow meeting</t>
  </si>
  <si>
    <t>Meeting with murugesan sir, arun sir, umakanth sir</t>
  </si>
  <si>
    <t>Smartcom Analysis and Documentation.</t>
  </si>
  <si>
    <t>Defect 23005
*Dopdown modification and updation</t>
  </si>
  <si>
    <t>Smartcom Analysis and Documentation.(
Preparing Document For Form Development Complete Flow)</t>
  </si>
  <si>
    <t>Defect -21152
*Analysing Footer error</t>
  </si>
  <si>
    <t>Defect-51895
*Alignment issues fixed
*DSD updated</t>
  </si>
  <si>
    <t>Defect-51897
*DSD updated</t>
  </si>
  <si>
    <t>Defect-51909
1.DSD content updated in multiple places in form.</t>
  </si>
  <si>
    <t>Defect-51913
1.DSD content updated in multiple places in form.
2.Alignment issue fixed</t>
  </si>
  <si>
    <t>Defect-51910
1.DSD content updated in multiple places in form.
2.Alignment issue fixed</t>
  </si>
  <si>
    <t>Defect-51904
1.DSD content updated in multiple places in form.</t>
  </si>
  <si>
    <t>Defect-51899
1.DSD content updated in multiple places in form.</t>
  </si>
  <si>
    <t>Defect-51898
1.DSD update in multiple places-fixed</t>
  </si>
  <si>
    <t>Defect-51896
1.DSD update in multiple places-fixed</t>
  </si>
  <si>
    <t>Defect-23440
1.Mapping Updated-fixed
2.Please check latest template-fixed</t>
  </si>
  <si>
    <t>Defect-23443
1.Mapping Updated-fixed
2.Please check latest template-fixed</t>
  </si>
  <si>
    <t>Defect-23446
1.Mapping Updated-fixed
2.Please check latest template-fixed</t>
  </si>
  <si>
    <t>Defect-23546
1.Space mismatches-fixed
2.Alignment mismatches, pls match line length &amp; space as per template-fixed</t>
  </si>
  <si>
    <t>Defect-23641
1.Address section positioning issue fixed.</t>
  </si>
  <si>
    <t>Defect-23649
All grids in the print layout should display multiple records. pls check.fixed</t>
  </si>
  <si>
    <t>Defect-23654
1) There is a space between 'Child(ren)'s Name and Date of Birth' and '(Colon) : ' in the form in application.But in form latest template, there is no space. Please check-fixed
2) Please check the alignment issue in PDF-As per golden rule fixed</t>
  </si>
  <si>
    <t>Defect-23662
1.Highlighted section should be centre aligned.</t>
  </si>
  <si>
    <t>Defect-23643
1.Please check the header spacing and the size of the ADA Notice.
2.The statement “See page 2 for Notice to be published.” Should not move to a 2nd page
3.Could spacing be reduced unit Judicial District, At Town Docket Number line and Plaintiff and Defendant names line?
4.Checkbox appears to be larger than the other checkboxes
5.The spacing above and below “Court Order” is not matching the template
6.The second line of free form text should be left justified when it wraps and there should be a line under the text before it wraps and a line under the text when it wraps.
7.There is an extra Court address line
8.Tag 14 – Is one tag user input of 200, in draft editor it is 5 user input fields</t>
  </si>
  <si>
    <t>Document Preparation</t>
  </si>
  <si>
    <t>Defect-23441
1.Mapping Updated.
2.Please check latest template.Once done reassign to DB team</t>
  </si>
  <si>
    <t>Defect-23431
1.Mapping Updated.
2.Please check latest template.Once done reassign to DB team</t>
  </si>
  <si>
    <t>Defect-23377
Please implement these DCL changes.</t>
  </si>
  <si>
    <t>Defect-23378
Please implement these DCL changes.</t>
  </si>
  <si>
    <t>Defect-23371
1.Mapping Updated . Please check
2.Please check latest template . Once done reassign to DB team</t>
  </si>
  <si>
    <t>Defect-22954
Please implement these DCL changes.</t>
  </si>
  <si>
    <t xml:space="preserve">Defect-23537
Please check issue 1 and please reassign to DB
</t>
  </si>
  <si>
    <t>Defect-23635
1. Tag 7 - User input field is locked
2. E-Signature is displaying below the signature line with the initials. The esignature is added in USEM Edit my Profile.</t>
  </si>
  <si>
    <t>Defect-23409
Mapping document updated for ocss case user. and add the Packet form OG0P00002
also check "Update Body Layout Specification for Recipient Address to OCSS Address Layout"</t>
  </si>
  <si>
    <t>Defect-23567
1.Docket need to choose from DPOP
2.If user choose docket means, those elements will display.
3.Please check Sign alignment issue</t>
  </si>
  <si>
    <t>Defect-23686
Tested the duplex form CFUIFSAGT. The system adding an additional blank page after the first page</t>
  </si>
  <si>
    <t>Defect-23714
1. Create seperate smartcomm template for Seperator sheet (Use sample "CT_DEMO_SEPERATE_SHEET" project)
2. Barcode information need to show "CCSESPLUS-SEPARATOR-SHEET"
3. UI code need to retrieve PDF file from smartcomm service.</t>
  </si>
  <si>
    <t>Issue Time Estimation</t>
  </si>
  <si>
    <t>Defect-23643
"1.Please check the header spacing and the size of the ADA Notice.
2.The statement “See page 2 for Notice to be published.” Should not move to a 2nd page
3.Could spacing be reduced unit Judicial District, At Town Docket Number line and Plaintiff and Defendant names line?
4.Checkbox appears to be larger than the other checkboxes
5.The spacing above and below “Court Order” is not matching the template
6.The second line of free form text should be left justified when it wraps and there should be a line under the text before it wraps and a line under the text when it wraps.
7.There is an extra Court address line
8.Tag 14 – Is one tag user input of 200, in draft editor it is 5 user input fields"</t>
  </si>
  <si>
    <t>Defect-23689
"1.As per Golden rule If form is duplex and has content on reverse, footer shows 'Please Turn Over' on front page.it just says PTO
2.Footer is missing for blank pages
3.The blank Pages are not inserted correctley.There is no blank page between 3 and 4 and after 4 page two blank pages are continuosly inserted."</t>
  </si>
  <si>
    <t>Defect-23714
1.Please change Qr code as &lt;root&gt;&lt;ccses_seperator_sheet&gt;CCSESPLUS-SEPARATOR-SHEET&gt;&lt;/ccses_seperator_sheet&gt;&lt;/root&gt;-fixed</t>
  </si>
  <si>
    <t>Defect-23465
"1.Mapping Updated
2. Please update Plaintiff section as followed in OG0F198LA
3. Please check latest template"</t>
  </si>
  <si>
    <t>Defect-23811
"9. FAIL - VS - Design issue
10,14. FAIL - NCP First &amp; Last Name, SuffiX
   As per bug 18807, ""J"" only need to be in Caps
17. FAIL - Print method selection
      When user changes Print method and delivery method and generate notice means, at that time only print method and delivery method will change,
      next time default print method only will display.
18. FAIL - The line for the wording is not matching the template - Design issue              
22.Please confirm what needs to fix"</t>
  </si>
  <si>
    <t>Defect-23868
"Issue 1: The last statement must be in a single line and it is showing correctly in the draft editor but not in the preview and in the generated form.
Issue 2: Adding character length validation when special characters are used.
Issue 3 : Not displaying NCP’s suffix
Issue 4. As per the golden rule, If data element is in Title case in template, text should appear in title case. [Title case is first letter in each word capitalized: Title Case Example]"</t>
  </si>
  <si>
    <t>Defect-23871
"2.  Design issue
3, 4, 5, 6. DB Issue -  Need to update the Recipient code PN in task document instead of WR-Worker.
8. DB Issue - fixed.
13. It is working as per confimation.
check bug 18404 - Suffix name - Jr,Sr should be Title case and I,II,III should be ALL CAPS"</t>
  </si>
  <si>
    <t>Defect-23437
"1.Mapping Updated
2.Please check latest template"</t>
  </si>
  <si>
    <t>Defect-23567
Page navigation issue present.</t>
  </si>
  <si>
    <t>Defect-23451
Page navigation issue present.</t>
  </si>
  <si>
    <t>Project Setup WIOA</t>
  </si>
  <si>
    <t>Document screen analysis and Development</t>
  </si>
  <si>
    <t>Defect-23714
New development issue fixed</t>
  </si>
  <si>
    <t>Defect-24163
Page Count issue Analysis</t>
  </si>
  <si>
    <t>Defect-24163
Page count issue analysis in output config file.</t>
  </si>
  <si>
    <t>Defect-24033
1.Signature not displaying correctly-common issue
2.Need space after Gov. and This-fixed
3.'Please complete and sign the other side" should be on first page.   See template, it looks like we have extra space above signature-fixed</t>
  </si>
  <si>
    <t>Defect-24034
2.In the Conference box the address information displayed on the 2nd line should wrap below address line 1 details.-fixed
3.The placement and size of the signature is not correct. The signature has been added in USEM Edit My Profile.-common issue
4.The form should generate on 1 page.- As per golden rule signature moved to new page with above paragraph</t>
  </si>
  <si>
    <t>Defect-24101
1.Extra comma in the address in the header.  after address line 1-common issue
2.Extra space in NCP's address  after zip code there should not be a space before the comma-fixed</t>
  </si>
  <si>
    <t>Defect-23415
1.Maintain the space as per template.-fixed
2.Footer not displayed.-fixed</t>
  </si>
  <si>
    <t>Defect-24102
1.Address in header has an extra comma after address line 1-common issue
2.Spacing in NCP's address is wrong,  We need a space between address line 1 and city,  a space between city and state and remove the space between zip and comma-fixed
3.Need space between City and State, and between State and zip  (2 spaces)-fixed
4.Space before NCP's name.  see screenshot-fixed</t>
  </si>
  <si>
    <t>Defect-24103
1.Page navigation issue present-as per Defect-22071 implemented.</t>
  </si>
  <si>
    <t>Defect-24114
2. Page 1 is missing footer, page number.-As per forms design matrix fixed.
3. Checkbox sizes are no matching the template.-If we fix according to template, then we see alignment issues in draft editor, so that fixed according to avoid issues in draft editor.</t>
  </si>
  <si>
    <t>Defect-24117
1.Please check the spacing between the header and the form content.-As per golden rule fixed.
2.Please move or adjust the content at the bottom of the first page, so that it is not resting on the footer line.-fixed</t>
  </si>
  <si>
    <t xml:space="preserve">Defect-24160
1.Checkbox is not aligned with the checkbox above.-fixed
2.This is a duplex form with 2 page, additional blank pages should not be inserted. pdf attached.fixed (If maximum running content occurs page will navigate)
</t>
  </si>
  <si>
    <t>Defect-24103
1.Page navigation issue present- last two line navigated to page 3.-fixed</t>
  </si>
  <si>
    <t>Defect-24081
Payor Id is not displaying for some of the records in Held Amount, please check-fixed</t>
  </si>
  <si>
    <t>Defect-24082
Empty page between case details and receipt grid, please check.-fixed</t>
  </si>
  <si>
    <t>Defect-52002
Please implement these CR changes.-fixed</t>
  </si>
  <si>
    <t>Defect-52003
Please implement these CR changes.-fixed</t>
  </si>
  <si>
    <t>Defect-52004
Please implement these CR changes.-fixed</t>
  </si>
  <si>
    <t>Defect-52008
Please implement these changes.-fixed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</si>
</sst>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ont>
    <font>
      <b/>
      <sz val="11"/>
      <color indexed="8"/>
      <name val="Segoe UI Black"/>
    </font>
    <font>
      <sz val="11"/>
      <color indexed="8"/>
      <name val="Arial"/>
    </font>
    <font>
      <sz val="11"/>
      <color indexed="8"/>
      <name val="Aptos Narrow"/>
    </font>
    <font>
      <sz val="11"/>
      <name val="Arial"/>
    </font>
    <font>
      <sz val="10"/>
      <color indexed="10"/>
      <name val="Arial"/>
    </font>
  </fonts>
  <fills count="3">
    <fill>
      <patternFill patternType="none"/>
    </fill>
    <fill>
      <patternFill patternType="gray125"/>
    </fill>
    <fill>
      <patternFill patternType="solid">
        <fgColor indexed="44"/>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1" fillId="0" borderId="0" xfId="0" applyFont="1" applyAlignment="1"/>
    <xf numFmtId="0" fontId="1" fillId="0" borderId="0" xfId="0" applyFont="1" applyAlignment="1">
      <alignment horizontal="left" vertical="center" indent="1"/>
    </xf>
    <xf numFmtId="16" fontId="2" fillId="0" borderId="0" xfId="0" applyNumberFormat="1" applyFont="1" applyAlignment="1"/>
    <xf numFmtId="0" fontId="2" fillId="0" borderId="0" xfId="0" applyFont="1" applyAlignment="1">
      <alignment wrapText="1"/>
    </xf>
    <xf numFmtId="0" fontId="2" fillId="0" borderId="0" xfId="0" applyFont="1" applyAlignment="1"/>
    <xf numFmtId="0" fontId="2" fillId="2" borderId="0" xfId="0" applyFont="1" applyFill="1" applyAlignment="1"/>
    <xf numFmtId="0" fontId="2" fillId="0" borderId="0" xfId="0" applyFont="1" applyAlignment="1">
      <alignment vertical="center" wrapText="1"/>
    </xf>
    <xf numFmtId="0" fontId="3" fillId="0" borderId="0" xfId="0" applyFont="1" applyAlignment="1"/>
    <xf numFmtId="0" fontId="3" fillId="2" borderId="0" xfId="0" applyFont="1" applyFill="1" applyAlignment="1"/>
    <xf numFmtId="16" fontId="4" fillId="0" borderId="0" xfId="0" applyNumberFormat="1" applyFont="1">
      <alignment vertical="center"/>
    </xf>
    <xf numFmtId="0" fontId="0" fillId="2" borderId="0" xfId="0" applyFill="1">
      <alignment vertical="center"/>
    </xf>
    <xf numFmtId="16" fontId="0" fillId="0" borderId="0" xfId="0" applyNumberFormat="1">
      <alignment vertical="center"/>
    </xf>
    <xf numFmtId="0" fontId="4" fillId="0" borderId="0" xfId="0" applyFont="1">
      <alignment vertical="center"/>
    </xf>
    <xf numFmtId="0" fontId="0" fillId="0" borderId="0" xfId="0" applyAlignment="1">
      <alignment vertical="center" wrapText="1"/>
    </xf>
    <xf numFmtId="0" fontId="4" fillId="0" borderId="0" xfId="0" applyFont="1" applyAlignment="1">
      <alignment vertical="center" wrapText="1"/>
    </xf>
    <xf numFmtId="0" fontId="5" fillId="2" borderId="0" xfId="0" applyFont="1" applyFill="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EB47-5C96-46E9-ABFC-319899D5B164}">
  <dimension ref="A1:K181"/>
  <sheetViews>
    <sheetView tabSelected="1" topLeftCell="F1" zoomScaleSheetLayoutView="100" workbookViewId="0">
      <pane ySplit="1" topLeftCell="A169" activePane="bottomLeft" state="frozen"/>
      <selection pane="bottomLeft" activeCell="B181" sqref="B181"/>
    </sheetView>
  </sheetViews>
  <sheetFormatPr defaultColWidth="9.140625" defaultRowHeight="12.75"/>
  <cols>
    <col min="1" max="1" width="12.5703125" customWidth="1"/>
    <col min="2" max="2" width="34.7109375" customWidth="1"/>
    <col min="3" max="3" width="29.42578125" customWidth="1"/>
    <col min="4" max="4" width="20.42578125" customWidth="1"/>
    <col min="5" max="5" width="30.42578125" customWidth="1"/>
    <col min="6" max="6" width="19.28515625" customWidth="1"/>
    <col min="7" max="7" width="19.42578125" customWidth="1"/>
    <col min="8" max="8" width="31.7109375" customWidth="1"/>
    <col min="9" max="9" width="19.140625" customWidth="1"/>
    <col min="10" max="10" width="20.5703125" customWidth="1"/>
    <col min="11" max="11" width="31.28515625" customWidth="1"/>
  </cols>
  <sheetData>
    <row r="1" spans="1:11" ht="16.5">
      <c r="A1" s="1" t="s">
        <v>0</v>
      </c>
      <c r="B1" s="1" t="s">
        <v>1</v>
      </c>
      <c r="C1" s="2" t="s">
        <v>2</v>
      </c>
      <c r="D1" s="1" t="s">
        <v>3</v>
      </c>
      <c r="E1" s="1" t="s">
        <v>4</v>
      </c>
      <c r="F1" s="1" t="s">
        <v>5</v>
      </c>
      <c r="G1" s="1" t="s">
        <v>6</v>
      </c>
      <c r="H1" s="1" t="s">
        <v>7</v>
      </c>
      <c r="I1" s="1" t="s">
        <v>8</v>
      </c>
      <c r="J1" s="1" t="s">
        <v>9</v>
      </c>
      <c r="K1" s="1" t="s">
        <v>10</v>
      </c>
    </row>
    <row r="2" spans="1:11" ht="99.75">
      <c r="A2" s="3">
        <v>45901</v>
      </c>
      <c r="B2" s="4" t="s">
        <v>11</v>
      </c>
      <c r="C2" s="5">
        <v>480</v>
      </c>
      <c r="D2" s="5"/>
      <c r="E2" s="5"/>
      <c r="F2" s="5"/>
      <c r="G2" s="5"/>
      <c r="H2" s="5"/>
      <c r="I2" s="5"/>
      <c r="J2" s="5">
        <f>SUM(C2,G3)/60</f>
        <v>9</v>
      </c>
      <c r="K2" s="5"/>
    </row>
    <row r="3" spans="1:11" ht="14.25">
      <c r="A3" s="5"/>
      <c r="B3" s="5" t="s">
        <v>12</v>
      </c>
      <c r="C3" s="5"/>
      <c r="D3" s="5"/>
      <c r="E3" s="5"/>
      <c r="F3" s="5"/>
      <c r="G3" s="5">
        <v>60</v>
      </c>
      <c r="H3" s="5"/>
      <c r="I3" s="5"/>
      <c r="J3" s="5"/>
      <c r="K3" s="5"/>
    </row>
    <row r="4" spans="1:11" ht="14.25">
      <c r="A4" s="6"/>
      <c r="B4" s="6"/>
      <c r="C4" s="6"/>
      <c r="D4" s="6"/>
      <c r="E4" s="6"/>
      <c r="F4" s="6"/>
      <c r="G4" s="6"/>
      <c r="H4" s="6"/>
      <c r="I4" s="6"/>
      <c r="J4" s="6"/>
      <c r="K4" s="6"/>
    </row>
    <row r="5" spans="1:11" ht="99.75">
      <c r="A5" s="3">
        <v>45902</v>
      </c>
      <c r="B5" s="4" t="s">
        <v>11</v>
      </c>
      <c r="C5" s="5">
        <v>315</v>
      </c>
      <c r="D5" s="5"/>
      <c r="E5" s="5"/>
      <c r="F5" s="5"/>
      <c r="G5" s="5"/>
      <c r="H5" s="5"/>
      <c r="I5" s="5"/>
      <c r="J5" s="5">
        <f>SUM(C5,C6,G7)/60</f>
        <v>9</v>
      </c>
      <c r="K5" s="5"/>
    </row>
    <row r="6" spans="1:11" ht="71.25">
      <c r="A6" s="5"/>
      <c r="B6" s="4" t="s">
        <v>13</v>
      </c>
      <c r="C6" s="5">
        <v>165</v>
      </c>
      <c r="D6" s="5"/>
      <c r="E6" s="5"/>
      <c r="F6" s="5"/>
      <c r="G6" s="5"/>
      <c r="H6" s="5"/>
      <c r="I6" s="5"/>
      <c r="J6" s="5"/>
      <c r="K6" s="5"/>
    </row>
    <row r="7" spans="1:11" ht="14.25">
      <c r="A7" s="5"/>
      <c r="B7" s="5" t="s">
        <v>12</v>
      </c>
      <c r="C7" s="5"/>
      <c r="D7" s="5"/>
      <c r="E7" s="5"/>
      <c r="F7" s="5"/>
      <c r="G7" s="5">
        <v>60</v>
      </c>
      <c r="H7" s="5"/>
      <c r="I7" s="5"/>
      <c r="J7" s="5"/>
      <c r="K7" s="5"/>
    </row>
    <row r="8" spans="1:11" ht="14.25">
      <c r="A8" s="6"/>
      <c r="B8" s="6"/>
      <c r="C8" s="6"/>
      <c r="D8" s="6"/>
      <c r="E8" s="6"/>
      <c r="F8" s="6"/>
      <c r="G8" s="6"/>
      <c r="H8" s="6"/>
      <c r="I8" s="6"/>
      <c r="J8" s="6"/>
      <c r="K8" s="6"/>
    </row>
    <row r="9" spans="1:11" ht="99.75">
      <c r="A9" s="3">
        <v>45903</v>
      </c>
      <c r="B9" s="4" t="s">
        <v>11</v>
      </c>
      <c r="C9" s="5">
        <v>480</v>
      </c>
      <c r="D9" s="5"/>
      <c r="E9" s="5"/>
      <c r="F9" s="5"/>
      <c r="G9" s="5"/>
      <c r="H9" s="5"/>
      <c r="I9" s="5"/>
      <c r="J9" s="5">
        <f>SUM(C9,G10)/60</f>
        <v>9</v>
      </c>
      <c r="K9" s="5"/>
    </row>
    <row r="10" spans="1:11" ht="14.25">
      <c r="A10" s="5"/>
      <c r="B10" s="5" t="s">
        <v>12</v>
      </c>
      <c r="C10" s="5"/>
      <c r="D10" s="5"/>
      <c r="E10" s="5"/>
      <c r="F10" s="5"/>
      <c r="G10" s="5">
        <v>60</v>
      </c>
      <c r="H10" s="5"/>
      <c r="I10" s="5"/>
      <c r="J10" s="5"/>
      <c r="K10" s="5"/>
    </row>
    <row r="11" spans="1:11" ht="14.25">
      <c r="A11" s="6"/>
      <c r="B11" s="6"/>
      <c r="C11" s="6"/>
      <c r="D11" s="6"/>
      <c r="E11" s="6"/>
      <c r="F11" s="6"/>
      <c r="G11" s="6"/>
      <c r="H11" s="6"/>
      <c r="I11" s="6"/>
      <c r="J11" s="6"/>
      <c r="K11" s="6"/>
    </row>
    <row r="12" spans="1:11" ht="71.25">
      <c r="A12" s="3">
        <v>45904</v>
      </c>
      <c r="B12" s="7" t="s">
        <v>14</v>
      </c>
      <c r="C12" s="5">
        <v>60</v>
      </c>
      <c r="D12" s="5"/>
      <c r="E12" s="5"/>
      <c r="F12" s="5"/>
      <c r="G12" s="5"/>
      <c r="H12" s="5"/>
      <c r="I12" s="5"/>
      <c r="J12" s="5">
        <f>SUM(C12,C13,C14,C15,C16,C17,C18,C19,G20)/60</f>
        <v>9</v>
      </c>
      <c r="K12" s="5"/>
    </row>
    <row r="13" spans="1:11" ht="71.25">
      <c r="A13" s="5"/>
      <c r="B13" s="4" t="s">
        <v>15</v>
      </c>
      <c r="C13" s="5">
        <v>45</v>
      </c>
      <c r="D13" s="5"/>
      <c r="E13" s="5"/>
      <c r="F13" s="5"/>
      <c r="G13" s="5"/>
      <c r="H13" s="5"/>
      <c r="I13" s="5"/>
      <c r="J13" s="5"/>
      <c r="K13" s="5"/>
    </row>
    <row r="14" spans="1:11" ht="71.25">
      <c r="A14" s="5"/>
      <c r="B14" s="7" t="s">
        <v>16</v>
      </c>
      <c r="C14" s="5">
        <v>60</v>
      </c>
      <c r="D14" s="5"/>
      <c r="E14" s="5"/>
      <c r="F14" s="5"/>
      <c r="G14" s="5"/>
      <c r="H14" s="5"/>
      <c r="I14" s="5"/>
      <c r="J14" s="5"/>
      <c r="K14" s="5"/>
    </row>
    <row r="15" spans="1:11" ht="71.25">
      <c r="A15" s="5"/>
      <c r="B15" s="4" t="s">
        <v>17</v>
      </c>
      <c r="C15" s="5">
        <v>15</v>
      </c>
      <c r="D15" s="5"/>
      <c r="E15" s="5"/>
      <c r="F15" s="5"/>
      <c r="G15" s="5"/>
      <c r="H15" s="5"/>
      <c r="I15" s="5"/>
      <c r="J15" s="5"/>
      <c r="K15" s="5"/>
    </row>
    <row r="16" spans="1:11" ht="85.5">
      <c r="A16" s="8"/>
      <c r="B16" s="7" t="s">
        <v>18</v>
      </c>
      <c r="C16" s="5">
        <v>60</v>
      </c>
      <c r="D16" s="8"/>
      <c r="E16" s="8"/>
      <c r="F16" s="8"/>
      <c r="G16" s="8"/>
      <c r="H16" s="8"/>
      <c r="I16" s="8"/>
      <c r="J16" s="8"/>
      <c r="K16" s="8"/>
    </row>
    <row r="17" spans="1:11" ht="86.25">
      <c r="A17" s="8"/>
      <c r="B17" s="4" t="s">
        <v>19</v>
      </c>
      <c r="C17" s="5">
        <v>5</v>
      </c>
      <c r="D17" s="8"/>
      <c r="E17" s="8"/>
      <c r="F17" s="8"/>
      <c r="G17" s="8"/>
      <c r="H17" s="8"/>
      <c r="I17" s="8"/>
      <c r="J17" s="8"/>
      <c r="K17" s="8"/>
    </row>
    <row r="18" spans="1:11" ht="100.5">
      <c r="A18" s="8"/>
      <c r="B18" s="4" t="s">
        <v>20</v>
      </c>
      <c r="C18" s="5">
        <v>25</v>
      </c>
      <c r="D18" s="8"/>
      <c r="E18" s="8"/>
      <c r="F18" s="8"/>
      <c r="G18" s="8"/>
      <c r="H18" s="8"/>
      <c r="I18" s="8"/>
      <c r="J18" s="8"/>
      <c r="K18" s="8"/>
    </row>
    <row r="19" spans="1:11" ht="157.5">
      <c r="A19" s="8"/>
      <c r="B19" s="4" t="s">
        <v>21</v>
      </c>
      <c r="C19" s="5">
        <v>30</v>
      </c>
      <c r="D19" s="8"/>
      <c r="E19" s="8"/>
      <c r="F19" s="8"/>
      <c r="G19" s="8"/>
      <c r="H19" s="8"/>
      <c r="I19" s="8"/>
      <c r="J19" s="8"/>
      <c r="K19" s="8"/>
    </row>
    <row r="20" spans="1:11" ht="15">
      <c r="A20" s="8"/>
      <c r="B20" s="5" t="s">
        <v>22</v>
      </c>
      <c r="C20" s="8"/>
      <c r="D20" s="8"/>
      <c r="E20" s="8"/>
      <c r="F20" s="8"/>
      <c r="G20" s="5">
        <v>240</v>
      </c>
      <c r="H20" s="8"/>
      <c r="I20" s="8"/>
      <c r="J20" s="8"/>
      <c r="K20" s="8"/>
    </row>
    <row r="21" spans="1:11" ht="15">
      <c r="A21" s="9"/>
      <c r="B21" s="9"/>
      <c r="C21" s="9"/>
      <c r="D21" s="9"/>
      <c r="E21" s="9"/>
      <c r="F21" s="9"/>
      <c r="G21" s="9"/>
      <c r="H21" s="9"/>
      <c r="I21" s="9"/>
      <c r="J21" s="9"/>
      <c r="K21" s="9"/>
    </row>
    <row r="22" spans="1:11" ht="71.25">
      <c r="A22" s="3">
        <v>45905</v>
      </c>
      <c r="B22" s="4" t="s">
        <v>23</v>
      </c>
      <c r="C22" s="5">
        <v>60</v>
      </c>
      <c r="D22" s="5"/>
      <c r="E22" s="5"/>
      <c r="F22" s="5"/>
      <c r="G22" s="5"/>
      <c r="H22" s="5"/>
      <c r="I22" s="5"/>
      <c r="J22" s="5">
        <f>SUM(C22,C23,C24,C25,C26,C27,G28)/60</f>
        <v>9</v>
      </c>
      <c r="K22" s="5"/>
    </row>
    <row r="23" spans="1:11" ht="57">
      <c r="A23" s="5"/>
      <c r="B23" s="4" t="s">
        <v>24</v>
      </c>
      <c r="C23" s="5">
        <v>370</v>
      </c>
      <c r="D23" s="5"/>
      <c r="E23" s="5"/>
      <c r="F23" s="5"/>
      <c r="G23" s="5"/>
      <c r="H23" s="5"/>
      <c r="I23" s="5"/>
      <c r="J23" s="5"/>
      <c r="K23" s="5"/>
    </row>
    <row r="24" spans="1:11" ht="71.25">
      <c r="A24" s="5"/>
      <c r="B24" s="4" t="s">
        <v>25</v>
      </c>
      <c r="C24" s="5">
        <v>15</v>
      </c>
      <c r="D24" s="5"/>
      <c r="E24" s="5"/>
      <c r="F24" s="5"/>
      <c r="G24" s="5"/>
      <c r="H24" s="5"/>
      <c r="I24" s="5"/>
      <c r="J24" s="5"/>
      <c r="K24" s="5"/>
    </row>
    <row r="25" spans="1:11" ht="85.5">
      <c r="A25" s="5"/>
      <c r="B25" s="4" t="s">
        <v>26</v>
      </c>
      <c r="C25" s="5">
        <v>5</v>
      </c>
      <c r="D25" s="5"/>
      <c r="E25" s="5"/>
      <c r="F25" s="5"/>
      <c r="G25" s="5"/>
      <c r="H25" s="5"/>
      <c r="I25" s="5"/>
      <c r="J25" s="5"/>
      <c r="K25" s="5"/>
    </row>
    <row r="26" spans="1:11" ht="99.75">
      <c r="A26" s="5"/>
      <c r="B26" s="4" t="s">
        <v>27</v>
      </c>
      <c r="C26" s="5">
        <v>15</v>
      </c>
      <c r="D26" s="5"/>
      <c r="E26" s="5"/>
      <c r="F26" s="5"/>
      <c r="G26" s="5"/>
      <c r="H26" s="5"/>
      <c r="I26" s="5"/>
      <c r="J26" s="5"/>
      <c r="K26" s="5"/>
    </row>
    <row r="27" spans="1:11" ht="114">
      <c r="A27" s="5"/>
      <c r="B27" s="4" t="s">
        <v>28</v>
      </c>
      <c r="C27" s="5">
        <v>15</v>
      </c>
      <c r="D27" s="5"/>
      <c r="E27" s="5"/>
      <c r="F27" s="5"/>
      <c r="G27" s="5"/>
      <c r="H27" s="5"/>
      <c r="I27" s="5"/>
      <c r="J27" s="5"/>
      <c r="K27" s="5"/>
    </row>
    <row r="28" spans="1:11" ht="14.25">
      <c r="A28" s="5"/>
      <c r="B28" s="5" t="s">
        <v>12</v>
      </c>
      <c r="C28" s="5"/>
      <c r="D28" s="5"/>
      <c r="E28" s="5"/>
      <c r="F28" s="5"/>
      <c r="G28" s="5">
        <v>60</v>
      </c>
      <c r="H28" s="5"/>
      <c r="I28" s="5"/>
      <c r="J28" s="5"/>
      <c r="K28" s="5"/>
    </row>
    <row r="29" spans="1:11" ht="14.25">
      <c r="A29" s="6"/>
      <c r="B29" s="6"/>
      <c r="C29" s="6"/>
      <c r="D29" s="6"/>
      <c r="E29" s="6"/>
      <c r="F29" s="6"/>
      <c r="G29" s="6"/>
      <c r="H29" s="6"/>
      <c r="I29" s="6"/>
      <c r="J29" s="6"/>
      <c r="K29" s="6"/>
    </row>
    <row r="30" spans="1:11" ht="99.75">
      <c r="A30" s="10">
        <v>45910</v>
      </c>
      <c r="B30" s="4" t="s">
        <v>11</v>
      </c>
      <c r="C30">
        <v>480</v>
      </c>
      <c r="J30">
        <f>SUM(C30,G31)/60</f>
        <v>9</v>
      </c>
    </row>
    <row r="31" spans="1:11">
      <c r="B31" t="s">
        <v>12</v>
      </c>
      <c r="G31">
        <v>60</v>
      </c>
    </row>
    <row r="32" spans="1:11">
      <c r="A32" s="11"/>
      <c r="B32" s="11"/>
      <c r="C32" s="11"/>
      <c r="D32" s="11"/>
      <c r="E32" s="11"/>
      <c r="F32" s="11"/>
      <c r="G32" s="11"/>
      <c r="H32" s="11"/>
      <c r="I32" s="11"/>
      <c r="J32" s="11"/>
      <c r="K32" s="11"/>
    </row>
    <row r="33" spans="1:11" ht="85.5">
      <c r="A33" s="10">
        <v>45911</v>
      </c>
      <c r="B33" s="4" t="s">
        <v>29</v>
      </c>
      <c r="C33">
        <v>480</v>
      </c>
      <c r="J33">
        <f>SUM(C33,G34)/60</f>
        <v>9</v>
      </c>
    </row>
    <row r="34" spans="1:11">
      <c r="B34" t="s">
        <v>12</v>
      </c>
      <c r="G34">
        <v>60</v>
      </c>
    </row>
    <row r="35" spans="1:11">
      <c r="A35" s="11"/>
      <c r="B35" s="11"/>
      <c r="C35" s="11"/>
      <c r="D35" s="11"/>
      <c r="E35" s="11"/>
      <c r="F35" s="11"/>
      <c r="G35" s="11"/>
      <c r="H35" s="11"/>
      <c r="I35" s="11"/>
      <c r="J35" s="11"/>
      <c r="K35" s="11"/>
    </row>
    <row r="36" spans="1:11" ht="85.5">
      <c r="A36" s="12">
        <v>45912</v>
      </c>
      <c r="B36" s="4" t="s">
        <v>29</v>
      </c>
      <c r="C36">
        <v>480</v>
      </c>
      <c r="J36">
        <f>SUM(C36,G37)/60</f>
        <v>9</v>
      </c>
    </row>
    <row r="37" spans="1:11" ht="14.25">
      <c r="B37" s="13" t="s">
        <v>12</v>
      </c>
      <c r="G37">
        <v>60</v>
      </c>
    </row>
    <row r="38" spans="1:11">
      <c r="A38" s="11"/>
      <c r="B38" s="11"/>
      <c r="C38" s="11"/>
      <c r="D38" s="11"/>
      <c r="E38" s="11"/>
      <c r="F38" s="11"/>
      <c r="G38" s="11"/>
      <c r="H38" s="11"/>
      <c r="I38" s="11"/>
      <c r="J38" s="11"/>
      <c r="K38" s="11"/>
    </row>
    <row r="39" spans="1:11" ht="85.5">
      <c r="A39" s="12">
        <v>45916</v>
      </c>
      <c r="B39" s="4" t="s">
        <v>29</v>
      </c>
      <c r="C39">
        <v>480</v>
      </c>
      <c r="J39">
        <f>SUM(C39,G40)/60</f>
        <v>9</v>
      </c>
    </row>
    <row r="40" spans="1:11">
      <c r="B40" t="s">
        <v>12</v>
      </c>
      <c r="G40">
        <v>60</v>
      </c>
    </row>
    <row r="41" spans="1:11">
      <c r="A41" s="11"/>
      <c r="B41" s="11"/>
      <c r="C41" s="11"/>
      <c r="D41" s="11"/>
      <c r="E41" s="11"/>
      <c r="F41" s="11"/>
      <c r="G41" s="11"/>
      <c r="H41" s="11"/>
      <c r="I41" s="11"/>
      <c r="J41" s="11"/>
      <c r="K41" s="11"/>
    </row>
    <row r="42" spans="1:11" ht="76.5">
      <c r="A42" s="12">
        <v>45917</v>
      </c>
      <c r="B42" s="14" t="s">
        <v>29</v>
      </c>
      <c r="C42">
        <v>240</v>
      </c>
      <c r="J42">
        <f>SUM(C42,C43,C44,G45)/60</f>
        <v>9</v>
      </c>
    </row>
    <row r="43" spans="1:11" ht="25.5">
      <c r="B43" s="14" t="s">
        <v>30</v>
      </c>
      <c r="C43">
        <v>120</v>
      </c>
    </row>
    <row r="44" spans="1:11" ht="25.5">
      <c r="B44" s="14" t="s">
        <v>31</v>
      </c>
      <c r="C44">
        <v>120</v>
      </c>
    </row>
    <row r="45" spans="1:11">
      <c r="B45" t="s">
        <v>12</v>
      </c>
      <c r="G45">
        <v>60</v>
      </c>
    </row>
    <row r="46" spans="1:11">
      <c r="A46" s="11"/>
      <c r="B46" s="11"/>
      <c r="C46" s="11"/>
      <c r="D46" s="11"/>
      <c r="E46" s="11"/>
      <c r="F46" s="11"/>
      <c r="G46" s="11"/>
      <c r="H46" s="11"/>
      <c r="I46" s="11"/>
      <c r="J46" s="11"/>
      <c r="K46" s="11"/>
    </row>
    <row r="47" spans="1:11" ht="76.5">
      <c r="A47" s="12">
        <v>45918</v>
      </c>
      <c r="B47" s="14" t="s">
        <v>29</v>
      </c>
      <c r="C47">
        <v>240</v>
      </c>
      <c r="J47">
        <f>SUM(C47,C48,G49)/60</f>
        <v>9</v>
      </c>
    </row>
    <row r="48" spans="1:11" ht="99.75">
      <c r="B48" s="4" t="s">
        <v>11</v>
      </c>
      <c r="C48">
        <v>240</v>
      </c>
    </row>
    <row r="49" spans="1:11">
      <c r="B49" t="s">
        <v>12</v>
      </c>
      <c r="G49">
        <v>60</v>
      </c>
    </row>
    <row r="50" spans="1:11">
      <c r="A50" s="11"/>
      <c r="B50" s="11"/>
      <c r="C50" s="11"/>
      <c r="D50" s="11"/>
      <c r="E50" s="11"/>
      <c r="F50" s="11"/>
      <c r="G50" s="11"/>
      <c r="H50" s="11"/>
      <c r="I50" s="11"/>
      <c r="J50" s="11"/>
      <c r="K50" s="11"/>
    </row>
    <row r="51" spans="1:11" ht="99.75">
      <c r="A51" s="12">
        <v>45919</v>
      </c>
      <c r="B51" s="4" t="s">
        <v>11</v>
      </c>
      <c r="C51">
        <v>480</v>
      </c>
      <c r="J51">
        <f>SUM(C51,G52)/60</f>
        <v>9</v>
      </c>
    </row>
    <row r="52" spans="1:11">
      <c r="B52" t="s">
        <v>12</v>
      </c>
      <c r="G52">
        <v>60</v>
      </c>
    </row>
    <row r="53" spans="1:11">
      <c r="A53" s="11"/>
      <c r="B53" s="11"/>
      <c r="C53" s="11"/>
      <c r="D53" s="11"/>
      <c r="E53" s="11"/>
      <c r="F53" s="11"/>
      <c r="G53" s="11"/>
      <c r="H53" s="11"/>
      <c r="I53" s="11"/>
      <c r="J53" s="11"/>
      <c r="K53" s="11"/>
    </row>
    <row r="54" spans="1:11" ht="99.75">
      <c r="A54" s="12">
        <v>45922</v>
      </c>
      <c r="B54" s="4" t="s">
        <v>11</v>
      </c>
      <c r="C54">
        <v>240</v>
      </c>
      <c r="J54">
        <f>SUM(C54,C55,C56,G57)/60</f>
        <v>9</v>
      </c>
    </row>
    <row r="55" spans="1:11" ht="57">
      <c r="B55" s="4" t="s">
        <v>32</v>
      </c>
      <c r="C55">
        <v>120</v>
      </c>
    </row>
    <row r="56" spans="1:11" ht="85.5">
      <c r="B56" s="15" t="s">
        <v>29</v>
      </c>
      <c r="C56">
        <v>120</v>
      </c>
    </row>
    <row r="57" spans="1:11" ht="25.5">
      <c r="B57" t="s">
        <v>12</v>
      </c>
      <c r="G57">
        <v>60</v>
      </c>
      <c r="K57" s="14" t="s">
        <v>33</v>
      </c>
    </row>
    <row r="58" spans="1:11">
      <c r="A58" s="11"/>
      <c r="B58" s="11"/>
      <c r="C58" s="11"/>
      <c r="D58" s="11"/>
      <c r="E58" s="11"/>
      <c r="F58" s="11"/>
      <c r="G58" s="11"/>
      <c r="H58" s="11"/>
      <c r="I58" s="11"/>
      <c r="J58" s="11"/>
      <c r="K58" s="11"/>
    </row>
    <row r="59" spans="1:11" ht="85.5">
      <c r="A59" s="12">
        <v>45923</v>
      </c>
      <c r="B59" s="15" t="s">
        <v>29</v>
      </c>
      <c r="C59">
        <v>480</v>
      </c>
      <c r="J59">
        <f>SUM(C59,G60)/60</f>
        <v>9</v>
      </c>
      <c r="K59" s="14"/>
    </row>
    <row r="60" spans="1:11" ht="25.5">
      <c r="B60" t="s">
        <v>12</v>
      </c>
      <c r="G60">
        <v>60</v>
      </c>
      <c r="K60" s="14" t="s">
        <v>34</v>
      </c>
    </row>
    <row r="61" spans="1:11">
      <c r="A61" s="11"/>
      <c r="B61" s="11"/>
      <c r="C61" s="11"/>
      <c r="D61" s="11"/>
      <c r="E61" s="11"/>
      <c r="F61" s="11"/>
      <c r="G61" s="11"/>
      <c r="H61" s="11"/>
      <c r="I61" s="11"/>
      <c r="J61" s="11"/>
      <c r="K61" s="11"/>
    </row>
    <row r="62" spans="1:11" ht="85.5">
      <c r="A62" s="12">
        <v>45924</v>
      </c>
      <c r="B62" s="15" t="s">
        <v>29</v>
      </c>
      <c r="C62">
        <v>120</v>
      </c>
      <c r="J62">
        <f>SUM(C62,C63,G64)/60</f>
        <v>9</v>
      </c>
    </row>
    <row r="63" spans="1:11">
      <c r="B63" t="s">
        <v>35</v>
      </c>
      <c r="C63">
        <v>360</v>
      </c>
    </row>
    <row r="64" spans="1:11">
      <c r="B64" t="s">
        <v>12</v>
      </c>
      <c r="G64">
        <v>60</v>
      </c>
    </row>
    <row r="65" spans="1:11">
      <c r="A65" s="11"/>
      <c r="B65" s="11"/>
      <c r="C65" s="11"/>
      <c r="D65" s="11"/>
      <c r="E65" s="11"/>
      <c r="F65" s="11"/>
      <c r="G65" s="11"/>
      <c r="H65" s="11"/>
      <c r="I65" s="11"/>
      <c r="J65" s="11"/>
      <c r="K65" s="11"/>
    </row>
    <row r="66" spans="1:11" ht="25.5">
      <c r="A66" s="12">
        <v>45925</v>
      </c>
      <c r="B66" s="14" t="s">
        <v>36</v>
      </c>
      <c r="C66">
        <v>60</v>
      </c>
      <c r="J66">
        <f>SUM(C66,C67,G68)/60</f>
        <v>9</v>
      </c>
    </row>
    <row r="67" spans="1:11">
      <c r="B67" t="s">
        <v>35</v>
      </c>
      <c r="C67">
        <v>420</v>
      </c>
    </row>
    <row r="68" spans="1:11">
      <c r="B68" t="s">
        <v>12</v>
      </c>
      <c r="G68">
        <v>60</v>
      </c>
    </row>
    <row r="69" spans="1:11">
      <c r="A69" s="11"/>
      <c r="B69" s="11"/>
      <c r="C69" s="11"/>
      <c r="D69" s="11"/>
      <c r="E69" s="11"/>
      <c r="F69" s="11"/>
      <c r="G69" s="11"/>
      <c r="H69" s="11"/>
      <c r="I69" s="11"/>
      <c r="J69" s="11"/>
      <c r="K69" s="11"/>
    </row>
    <row r="70" spans="1:11">
      <c r="A70" s="12">
        <v>45926</v>
      </c>
      <c r="B70" t="s">
        <v>35</v>
      </c>
      <c r="C70">
        <v>480</v>
      </c>
      <c r="J70">
        <f>SUM(C70,G71)/60</f>
        <v>9</v>
      </c>
    </row>
    <row r="71" spans="1:11">
      <c r="B71" t="s">
        <v>12</v>
      </c>
      <c r="G71">
        <v>60</v>
      </c>
    </row>
    <row r="72" spans="1:11">
      <c r="A72" s="11"/>
      <c r="B72" s="11"/>
      <c r="C72" s="11"/>
      <c r="D72" s="11"/>
      <c r="E72" s="11"/>
      <c r="F72" s="11"/>
      <c r="G72" s="11"/>
      <c r="H72" s="11"/>
      <c r="I72" s="11"/>
      <c r="J72" s="11"/>
      <c r="K72" s="11"/>
    </row>
    <row r="73" spans="1:11">
      <c r="A73" s="12">
        <v>45927</v>
      </c>
      <c r="B73" t="s">
        <v>35</v>
      </c>
      <c r="C73">
        <v>480</v>
      </c>
      <c r="J73">
        <f>SUM(C73,G74)/60</f>
        <v>9</v>
      </c>
    </row>
    <row r="74" spans="1:11">
      <c r="B74" t="s">
        <v>12</v>
      </c>
      <c r="G74">
        <v>60</v>
      </c>
    </row>
    <row r="75" spans="1:11">
      <c r="A75" s="11"/>
      <c r="B75" s="11"/>
      <c r="C75" s="11"/>
      <c r="D75" s="11"/>
      <c r="E75" s="11"/>
      <c r="F75" s="11"/>
      <c r="G75" s="11"/>
      <c r="H75" s="11"/>
      <c r="I75" s="11"/>
      <c r="J75" s="11"/>
      <c r="K75" s="11"/>
    </row>
    <row r="76" spans="1:11">
      <c r="A76" s="12">
        <v>45929</v>
      </c>
      <c r="B76" t="s">
        <v>35</v>
      </c>
      <c r="C76">
        <v>540</v>
      </c>
      <c r="J76">
        <f>SUM(C76)/60</f>
        <v>9</v>
      </c>
    </row>
    <row r="77" spans="1:11">
      <c r="A77" s="11"/>
      <c r="B77" s="11"/>
      <c r="C77" s="11"/>
      <c r="D77" s="11"/>
      <c r="E77" s="11"/>
      <c r="F77" s="11"/>
      <c r="G77" s="11"/>
      <c r="H77" s="11"/>
      <c r="I77" s="11"/>
      <c r="J77" s="11"/>
      <c r="K77" s="11"/>
    </row>
    <row r="78" spans="1:11" ht="51">
      <c r="A78" s="12">
        <v>45930</v>
      </c>
      <c r="B78" s="14" t="s">
        <v>37</v>
      </c>
      <c r="C78">
        <v>540</v>
      </c>
      <c r="J78">
        <f>SUM(C78)/60</f>
        <v>9</v>
      </c>
    </row>
    <row r="79" spans="1:11">
      <c r="A79" s="11"/>
      <c r="B79" s="11"/>
      <c r="C79" s="11"/>
      <c r="D79" s="11"/>
      <c r="E79" s="11"/>
      <c r="F79" s="11"/>
      <c r="G79" s="11"/>
      <c r="H79" s="11"/>
      <c r="I79" s="11"/>
      <c r="J79" s="11"/>
      <c r="K79" s="11"/>
    </row>
    <row r="80" spans="1:11" ht="25.5">
      <c r="A80" s="12">
        <v>45936</v>
      </c>
      <c r="B80" s="14" t="s">
        <v>38</v>
      </c>
      <c r="C80">
        <v>120</v>
      </c>
      <c r="D80">
        <v>0</v>
      </c>
      <c r="E80">
        <v>0</v>
      </c>
      <c r="F80">
        <v>0</v>
      </c>
      <c r="J80">
        <f>SUM(C80,C81,C82,G83)/60</f>
        <v>9</v>
      </c>
    </row>
    <row r="81" spans="1:11" ht="38.25">
      <c r="B81" s="14" t="s">
        <v>39</v>
      </c>
      <c r="C81">
        <v>180</v>
      </c>
      <c r="D81">
        <v>0</v>
      </c>
      <c r="E81">
        <v>0</v>
      </c>
      <c r="F81">
        <v>0</v>
      </c>
    </row>
    <row r="82" spans="1:11" ht="25.5">
      <c r="B82" s="14" t="s">
        <v>40</v>
      </c>
      <c r="C82">
        <v>120</v>
      </c>
      <c r="D82">
        <v>0</v>
      </c>
      <c r="E82">
        <v>0</v>
      </c>
      <c r="F82">
        <v>0</v>
      </c>
    </row>
    <row r="83" spans="1:11">
      <c r="B83" t="s">
        <v>12</v>
      </c>
      <c r="G83">
        <v>120</v>
      </c>
    </row>
    <row r="84" spans="1:11">
      <c r="A84" s="11"/>
      <c r="B84" s="11"/>
      <c r="C84" s="11"/>
      <c r="D84" s="11"/>
      <c r="E84" s="11"/>
      <c r="F84" s="11"/>
      <c r="G84" s="11"/>
      <c r="H84" s="11"/>
      <c r="I84" s="11"/>
      <c r="J84" s="11"/>
      <c r="K84" s="11"/>
    </row>
    <row r="85" spans="1:11" ht="38.25">
      <c r="A85" s="12">
        <v>45938</v>
      </c>
      <c r="B85" s="14" t="s">
        <v>41</v>
      </c>
      <c r="C85">
        <v>90</v>
      </c>
      <c r="D85">
        <v>0</v>
      </c>
      <c r="E85">
        <v>0</v>
      </c>
      <c r="F85">
        <v>0</v>
      </c>
      <c r="J85">
        <f>SUM(C85,C86,C87,C88,C89,G90)/60</f>
        <v>9</v>
      </c>
    </row>
    <row r="86" spans="1:11" ht="51">
      <c r="B86" s="14" t="s">
        <v>42</v>
      </c>
      <c r="C86">
        <v>120</v>
      </c>
      <c r="D86">
        <v>0</v>
      </c>
      <c r="E86">
        <v>0</v>
      </c>
      <c r="F86">
        <v>0</v>
      </c>
    </row>
    <row r="87" spans="1:11" ht="51">
      <c r="B87" s="14" t="s">
        <v>43</v>
      </c>
      <c r="C87">
        <v>120</v>
      </c>
      <c r="D87">
        <v>0</v>
      </c>
      <c r="E87">
        <v>0</v>
      </c>
      <c r="F87">
        <v>0</v>
      </c>
    </row>
    <row r="88" spans="1:11" ht="38.25">
      <c r="B88" s="14" t="s">
        <v>44</v>
      </c>
      <c r="C88">
        <v>90</v>
      </c>
      <c r="D88">
        <v>0</v>
      </c>
      <c r="E88">
        <v>0</v>
      </c>
      <c r="F88">
        <v>0</v>
      </c>
    </row>
    <row r="89" spans="1:11" ht="38.25">
      <c r="B89" s="14" t="s">
        <v>45</v>
      </c>
      <c r="C89">
        <v>60</v>
      </c>
      <c r="D89">
        <v>0</v>
      </c>
      <c r="E89">
        <v>0</v>
      </c>
      <c r="F89">
        <v>0</v>
      </c>
    </row>
    <row r="90" spans="1:11">
      <c r="B90" t="s">
        <v>12</v>
      </c>
      <c r="G90">
        <v>60</v>
      </c>
    </row>
    <row r="91" spans="1:11">
      <c r="A91" s="11"/>
      <c r="B91" s="11"/>
      <c r="C91" s="11"/>
      <c r="D91" s="11"/>
      <c r="E91" s="11"/>
      <c r="F91" s="11"/>
      <c r="G91" s="11"/>
      <c r="H91" s="11"/>
      <c r="I91" s="11"/>
      <c r="J91" s="11"/>
      <c r="K91" s="11"/>
    </row>
    <row r="92" spans="1:11" ht="25.5">
      <c r="A92" s="12">
        <v>45939</v>
      </c>
      <c r="B92" s="14" t="s">
        <v>46</v>
      </c>
      <c r="C92">
        <v>60</v>
      </c>
      <c r="D92">
        <v>0</v>
      </c>
      <c r="E92">
        <v>0</v>
      </c>
      <c r="F92">
        <v>0</v>
      </c>
      <c r="J92">
        <f>SUM(C92,C93,C94,C95,C96,C97,C98)/60</f>
        <v>9</v>
      </c>
    </row>
    <row r="93" spans="1:11" ht="25.5">
      <c r="B93" s="14" t="s">
        <v>47</v>
      </c>
      <c r="C93">
        <v>60</v>
      </c>
      <c r="D93">
        <v>0</v>
      </c>
      <c r="E93">
        <v>0</v>
      </c>
      <c r="F93">
        <v>0</v>
      </c>
    </row>
    <row r="94" spans="1:11" ht="38.25">
      <c r="B94" s="14" t="s">
        <v>48</v>
      </c>
      <c r="C94">
        <v>60</v>
      </c>
      <c r="D94">
        <v>0</v>
      </c>
      <c r="E94">
        <v>0</v>
      </c>
      <c r="F94">
        <v>0</v>
      </c>
    </row>
    <row r="95" spans="1:11" ht="38.25">
      <c r="B95" s="14" t="s">
        <v>49</v>
      </c>
      <c r="C95">
        <v>60</v>
      </c>
      <c r="D95">
        <v>0</v>
      </c>
      <c r="E95">
        <v>0</v>
      </c>
      <c r="F95">
        <v>0</v>
      </c>
    </row>
    <row r="96" spans="1:11" ht="38.25">
      <c r="B96" s="14" t="s">
        <v>50</v>
      </c>
      <c r="C96">
        <v>60</v>
      </c>
      <c r="D96">
        <v>0</v>
      </c>
      <c r="E96">
        <v>0</v>
      </c>
      <c r="F96">
        <v>0</v>
      </c>
    </row>
    <row r="97" spans="1:11" ht="63.75">
      <c r="B97" s="14" t="s">
        <v>51</v>
      </c>
      <c r="C97">
        <v>180</v>
      </c>
      <c r="D97">
        <v>0</v>
      </c>
      <c r="E97">
        <v>0</v>
      </c>
      <c r="F97">
        <v>0</v>
      </c>
    </row>
    <row r="98" spans="1:11" ht="38.25">
      <c r="B98" s="14" t="s">
        <v>52</v>
      </c>
      <c r="C98">
        <v>60</v>
      </c>
      <c r="D98">
        <v>0</v>
      </c>
      <c r="E98">
        <v>0</v>
      </c>
      <c r="F98">
        <v>0</v>
      </c>
    </row>
    <row r="99" spans="1:11">
      <c r="A99" s="11"/>
      <c r="B99" s="11"/>
      <c r="C99" s="11"/>
      <c r="D99" s="11"/>
      <c r="E99" s="11"/>
      <c r="F99" s="11"/>
      <c r="G99" s="11"/>
      <c r="H99" s="11"/>
      <c r="I99" s="11"/>
      <c r="J99" s="11"/>
      <c r="K99" s="11"/>
    </row>
    <row r="100" spans="1:11" ht="51">
      <c r="A100" s="12">
        <v>45940</v>
      </c>
      <c r="B100" s="14" t="s">
        <v>53</v>
      </c>
      <c r="C100">
        <v>240</v>
      </c>
      <c r="D100">
        <v>0</v>
      </c>
      <c r="E100">
        <v>0</v>
      </c>
      <c r="F100">
        <v>0</v>
      </c>
      <c r="J100">
        <f>SUM(C100,C101,C102,C103,C104,G105)/60</f>
        <v>9</v>
      </c>
    </row>
    <row r="101" spans="1:11" ht="102">
      <c r="B101" s="14" t="s">
        <v>54</v>
      </c>
      <c r="C101">
        <v>15</v>
      </c>
      <c r="D101">
        <v>0</v>
      </c>
      <c r="E101">
        <v>0</v>
      </c>
      <c r="F101">
        <v>0</v>
      </c>
    </row>
    <row r="102" spans="1:11" ht="38.25">
      <c r="B102" s="14" t="s">
        <v>55</v>
      </c>
      <c r="C102">
        <v>15</v>
      </c>
      <c r="D102">
        <v>0</v>
      </c>
      <c r="E102">
        <v>0</v>
      </c>
      <c r="F102">
        <v>0</v>
      </c>
    </row>
    <row r="103" spans="1:11" ht="280.5">
      <c r="B103" s="14" t="s">
        <v>56</v>
      </c>
      <c r="C103">
        <v>90</v>
      </c>
      <c r="D103">
        <v>0</v>
      </c>
      <c r="E103">
        <v>0</v>
      </c>
      <c r="F103">
        <v>0</v>
      </c>
    </row>
    <row r="104" spans="1:11">
      <c r="B104" t="s">
        <v>57</v>
      </c>
      <c r="C104">
        <v>90</v>
      </c>
    </row>
    <row r="105" spans="1:11">
      <c r="B105" t="s">
        <v>12</v>
      </c>
      <c r="G105">
        <v>90</v>
      </c>
    </row>
    <row r="106" spans="1:11">
      <c r="A106" s="11"/>
      <c r="B106" s="11"/>
      <c r="C106" s="11"/>
      <c r="D106" s="11"/>
      <c r="E106" s="11"/>
      <c r="F106" s="11"/>
      <c r="G106" s="11"/>
      <c r="H106" s="11"/>
      <c r="I106" s="11"/>
      <c r="J106" s="11"/>
      <c r="K106" s="11"/>
    </row>
    <row r="107" spans="1:11" ht="51">
      <c r="A107" s="12">
        <v>45943</v>
      </c>
      <c r="B107" s="14" t="s">
        <v>58</v>
      </c>
      <c r="C107">
        <v>75</v>
      </c>
      <c r="D107">
        <v>0</v>
      </c>
      <c r="E107">
        <v>0</v>
      </c>
      <c r="F107">
        <v>0</v>
      </c>
      <c r="J107">
        <f>SUM(C107,C108,C110,C109,C111,C112,C113,C114,C115,G116)/60</f>
        <v>9</v>
      </c>
    </row>
    <row r="108" spans="1:11" ht="51">
      <c r="B108" s="14" t="s">
        <v>59</v>
      </c>
      <c r="C108">
        <v>45</v>
      </c>
      <c r="D108">
        <v>0</v>
      </c>
      <c r="E108">
        <v>0</v>
      </c>
      <c r="F108">
        <v>0</v>
      </c>
    </row>
    <row r="109" spans="1:11" ht="25.5">
      <c r="B109" s="14" t="s">
        <v>60</v>
      </c>
      <c r="C109">
        <v>15</v>
      </c>
      <c r="D109">
        <v>0</v>
      </c>
      <c r="E109">
        <v>0</v>
      </c>
      <c r="F109">
        <v>0</v>
      </c>
    </row>
    <row r="110" spans="1:11" ht="25.5">
      <c r="B110" s="14" t="s">
        <v>61</v>
      </c>
      <c r="C110">
        <v>30</v>
      </c>
      <c r="D110">
        <v>0</v>
      </c>
      <c r="E110">
        <v>0</v>
      </c>
      <c r="F110">
        <v>0</v>
      </c>
    </row>
    <row r="111" spans="1:11" ht="51">
      <c r="B111" s="14" t="s">
        <v>62</v>
      </c>
      <c r="C111">
        <v>75</v>
      </c>
      <c r="D111">
        <v>0</v>
      </c>
      <c r="E111">
        <v>0</v>
      </c>
      <c r="F111">
        <v>0</v>
      </c>
    </row>
    <row r="112" spans="1:11" ht="25.5">
      <c r="B112" s="14" t="s">
        <v>63</v>
      </c>
      <c r="C112">
        <v>15</v>
      </c>
      <c r="D112">
        <v>0</v>
      </c>
      <c r="E112">
        <v>0</v>
      </c>
      <c r="F112">
        <v>0</v>
      </c>
    </row>
    <row r="113" spans="1:11" ht="51">
      <c r="B113" s="14" t="s">
        <v>64</v>
      </c>
      <c r="C113">
        <v>60</v>
      </c>
      <c r="D113">
        <v>0</v>
      </c>
      <c r="E113">
        <v>0</v>
      </c>
      <c r="F113">
        <v>0</v>
      </c>
    </row>
    <row r="114" spans="1:11" ht="76.5">
      <c r="B114" s="14" t="s">
        <v>65</v>
      </c>
      <c r="C114">
        <v>45</v>
      </c>
      <c r="D114">
        <v>0</v>
      </c>
      <c r="E114">
        <v>0</v>
      </c>
      <c r="F114">
        <v>0</v>
      </c>
    </row>
    <row r="115" spans="1:11" ht="89.25">
      <c r="B115" s="14" t="s">
        <v>66</v>
      </c>
      <c r="C115">
        <v>75</v>
      </c>
      <c r="D115">
        <v>0</v>
      </c>
      <c r="E115">
        <v>0</v>
      </c>
      <c r="F115">
        <v>0</v>
      </c>
    </row>
    <row r="116" spans="1:11">
      <c r="B116" t="s">
        <v>12</v>
      </c>
      <c r="G116">
        <v>105</v>
      </c>
    </row>
    <row r="117" spans="1:11">
      <c r="A117" s="11"/>
      <c r="B117" s="11"/>
      <c r="C117" s="11"/>
      <c r="D117" s="11"/>
      <c r="E117" s="11"/>
      <c r="F117" s="11"/>
      <c r="G117" s="11"/>
      <c r="H117" s="11"/>
      <c r="I117" s="11"/>
      <c r="J117" s="11"/>
      <c r="K117" s="11"/>
    </row>
    <row r="118" spans="1:11" ht="280.5">
      <c r="A118" s="12">
        <v>45944</v>
      </c>
      <c r="B118" s="14" t="s">
        <v>56</v>
      </c>
      <c r="C118">
        <v>120</v>
      </c>
      <c r="J118">
        <f>SUM(C118,C119,C120,C121,C122,G123)/60</f>
        <v>9</v>
      </c>
    </row>
    <row r="119" spans="1:11" ht="63.75">
      <c r="B119" s="14" t="s">
        <v>67</v>
      </c>
      <c r="C119">
        <v>60</v>
      </c>
    </row>
    <row r="120" spans="1:11" ht="51">
      <c r="B120" s="14" t="s">
        <v>68</v>
      </c>
      <c r="C120">
        <v>180</v>
      </c>
    </row>
    <row r="121" spans="1:11" ht="127.5">
      <c r="B121" s="14" t="s">
        <v>69</v>
      </c>
      <c r="C121">
        <v>30</v>
      </c>
    </row>
    <row r="122" spans="1:11">
      <c r="B122" s="14" t="s">
        <v>70</v>
      </c>
      <c r="C122">
        <v>60</v>
      </c>
    </row>
    <row r="123" spans="1:11">
      <c r="B123" t="s">
        <v>12</v>
      </c>
      <c r="G123">
        <v>90</v>
      </c>
    </row>
    <row r="124" spans="1:11">
      <c r="A124" s="11"/>
      <c r="B124" s="11"/>
      <c r="C124" s="11"/>
      <c r="D124" s="11"/>
      <c r="E124" s="11"/>
      <c r="F124" s="11"/>
      <c r="G124" s="11"/>
      <c r="H124" s="11"/>
      <c r="I124" s="11"/>
      <c r="J124" s="11"/>
      <c r="K124" s="11"/>
    </row>
    <row r="125" spans="1:11" ht="280.5">
      <c r="A125" s="12">
        <v>45945</v>
      </c>
      <c r="B125" s="14" t="s">
        <v>56</v>
      </c>
      <c r="C125">
        <v>480</v>
      </c>
      <c r="J125">
        <f>SUM(C125,G126)/60</f>
        <v>9</v>
      </c>
    </row>
    <row r="126" spans="1:11">
      <c r="B126" t="s">
        <v>12</v>
      </c>
      <c r="G126">
        <v>60</v>
      </c>
    </row>
    <row r="127" spans="1:11">
      <c r="A127" s="11"/>
      <c r="B127" s="11"/>
      <c r="C127" s="11"/>
      <c r="D127" s="11"/>
      <c r="E127" s="11"/>
      <c r="F127" s="11"/>
      <c r="G127" s="11"/>
      <c r="H127" s="11"/>
      <c r="I127" s="11"/>
      <c r="J127" s="11"/>
      <c r="K127" s="11"/>
    </row>
    <row r="128" spans="1:11" ht="280.5">
      <c r="A128" s="12">
        <v>45946</v>
      </c>
      <c r="B128" s="14" t="s">
        <v>71</v>
      </c>
      <c r="C128">
        <v>420</v>
      </c>
      <c r="J128">
        <f>SUM(C128,C129,C130,G131)/60</f>
        <v>9</v>
      </c>
    </row>
    <row r="129" spans="1:11" ht="127.5">
      <c r="B129" s="14" t="s">
        <v>72</v>
      </c>
      <c r="C129">
        <v>30</v>
      </c>
    </row>
    <row r="130" spans="1:11" ht="76.5">
      <c r="B130" s="14" t="s">
        <v>73</v>
      </c>
      <c r="C130">
        <v>15</v>
      </c>
    </row>
    <row r="131" spans="1:11">
      <c r="B131" t="s">
        <v>12</v>
      </c>
      <c r="G131">
        <v>75</v>
      </c>
    </row>
    <row r="132" spans="1:11">
      <c r="A132" s="11"/>
      <c r="B132" s="11"/>
      <c r="C132" s="11"/>
      <c r="D132" s="11"/>
      <c r="E132" s="11"/>
      <c r="F132" s="11"/>
      <c r="G132" s="11"/>
      <c r="H132" s="11"/>
      <c r="I132" s="11"/>
      <c r="J132" s="11"/>
      <c r="K132" s="11"/>
    </row>
    <row r="133" spans="1:11" ht="63.75">
      <c r="A133" s="12">
        <v>45947</v>
      </c>
      <c r="B133" s="14" t="s">
        <v>74</v>
      </c>
      <c r="C133">
        <v>60</v>
      </c>
      <c r="J133">
        <f>SUM(C133,C134,C135,C136,C137,C138,C139,G140)/60</f>
        <v>9</v>
      </c>
    </row>
    <row r="134" spans="1:11" ht="216.75">
      <c r="B134" s="14" t="s">
        <v>75</v>
      </c>
      <c r="C134">
        <v>45</v>
      </c>
    </row>
    <row r="135" spans="1:11" ht="178.5">
      <c r="B135" s="14" t="s">
        <v>76</v>
      </c>
      <c r="C135">
        <v>30</v>
      </c>
    </row>
    <row r="136" spans="1:11" ht="127.5">
      <c r="B136" s="14" t="s">
        <v>77</v>
      </c>
      <c r="C136">
        <v>30</v>
      </c>
    </row>
    <row r="137" spans="1:11" ht="38.25">
      <c r="B137" s="14" t="s">
        <v>78</v>
      </c>
      <c r="C137">
        <v>240</v>
      </c>
    </row>
    <row r="138" spans="1:11" ht="25.5">
      <c r="B138" s="14" t="s">
        <v>79</v>
      </c>
      <c r="C138">
        <v>30</v>
      </c>
    </row>
    <row r="139" spans="1:11" ht="25.5">
      <c r="B139" s="14" t="s">
        <v>80</v>
      </c>
      <c r="C139">
        <v>30</v>
      </c>
    </row>
    <row r="140" spans="1:11">
      <c r="B140" t="s">
        <v>12</v>
      </c>
      <c r="G140">
        <v>75</v>
      </c>
    </row>
    <row r="141" spans="1:11">
      <c r="A141" s="11"/>
      <c r="B141" s="11"/>
      <c r="C141" s="11"/>
      <c r="D141" s="11"/>
      <c r="E141" s="11"/>
      <c r="F141" s="11"/>
      <c r="G141" s="11"/>
      <c r="H141" s="11"/>
      <c r="I141" s="11"/>
      <c r="J141" s="11"/>
      <c r="K141" s="11"/>
    </row>
    <row r="142" spans="1:11">
      <c r="A142" s="12">
        <v>45952</v>
      </c>
      <c r="B142" t="s">
        <v>81</v>
      </c>
      <c r="C142">
        <v>300</v>
      </c>
      <c r="J142">
        <f>SUM(C142,C143,G144)/60</f>
        <v>9</v>
      </c>
    </row>
    <row r="143" spans="1:11" ht="25.5">
      <c r="B143" s="14" t="s">
        <v>82</v>
      </c>
      <c r="C143">
        <v>180</v>
      </c>
    </row>
    <row r="144" spans="1:11">
      <c r="B144" t="s">
        <v>12</v>
      </c>
      <c r="G144">
        <v>60</v>
      </c>
    </row>
    <row r="145" spans="1:11">
      <c r="A145" s="16"/>
      <c r="B145" s="16"/>
      <c r="C145" s="16"/>
      <c r="D145" s="16"/>
      <c r="E145" s="16"/>
      <c r="F145" s="16"/>
      <c r="G145" s="16"/>
      <c r="H145" s="16"/>
      <c r="I145" s="16"/>
      <c r="J145" s="16"/>
      <c r="K145" s="16"/>
    </row>
    <row r="146" spans="1:11" ht="25.5">
      <c r="A146" s="12">
        <v>45953</v>
      </c>
      <c r="B146" s="14" t="s">
        <v>82</v>
      </c>
      <c r="C146">
        <v>420</v>
      </c>
      <c r="J146">
        <f>SUM(C146,C147,G148)/60</f>
        <v>9</v>
      </c>
    </row>
    <row r="147" spans="1:11" ht="38.25">
      <c r="B147" s="14" t="s">
        <v>83</v>
      </c>
      <c r="C147">
        <v>60</v>
      </c>
    </row>
    <row r="148" spans="1:11">
      <c r="B148" t="s">
        <v>12</v>
      </c>
      <c r="G148">
        <v>60</v>
      </c>
    </row>
    <row r="149" spans="1:11">
      <c r="A149" s="11"/>
      <c r="B149" s="11"/>
      <c r="C149" s="11"/>
      <c r="D149" s="11"/>
      <c r="E149" s="11"/>
      <c r="F149" s="11"/>
      <c r="G149" s="11"/>
      <c r="H149" s="11"/>
      <c r="I149" s="11"/>
      <c r="J149" s="11"/>
      <c r="K149" s="11"/>
    </row>
    <row r="150" spans="1:11" ht="25.5">
      <c r="A150" s="12">
        <v>45954</v>
      </c>
      <c r="B150" s="14" t="s">
        <v>82</v>
      </c>
      <c r="C150">
        <v>480</v>
      </c>
      <c r="J150">
        <f>SUM(C150,G151)/60</f>
        <v>9</v>
      </c>
    </row>
    <row r="151" spans="1:11">
      <c r="B151" t="s">
        <v>12</v>
      </c>
      <c r="G151">
        <v>60</v>
      </c>
    </row>
    <row r="152" spans="1:11">
      <c r="A152" s="11"/>
      <c r="B152" s="11"/>
      <c r="C152" s="11"/>
      <c r="D152" s="11"/>
      <c r="E152" s="11"/>
      <c r="F152" s="11"/>
      <c r="G152" s="11"/>
      <c r="H152" s="11"/>
      <c r="I152" s="11"/>
      <c r="J152" s="11"/>
      <c r="K152" s="11"/>
    </row>
    <row r="153" spans="1:11" ht="25.5">
      <c r="A153" s="12">
        <v>45955</v>
      </c>
      <c r="B153" s="14" t="s">
        <v>84</v>
      </c>
      <c r="C153">
        <v>510</v>
      </c>
      <c r="J153">
        <f>SUM(C153,G154)/60</f>
        <v>9</v>
      </c>
    </row>
    <row r="154" spans="1:11">
      <c r="B154" t="s">
        <v>12</v>
      </c>
      <c r="G154">
        <v>30</v>
      </c>
    </row>
    <row r="155" spans="1:11">
      <c r="A155" s="11"/>
      <c r="B155" s="11"/>
      <c r="C155" s="11"/>
      <c r="D155" s="11"/>
      <c r="E155" s="11"/>
      <c r="F155" s="11"/>
      <c r="G155" s="11"/>
      <c r="H155" s="11"/>
      <c r="I155" s="11"/>
      <c r="J155" s="11"/>
      <c r="K155" s="11"/>
    </row>
    <row r="156" spans="1:11" ht="38.25">
      <c r="A156" s="12">
        <v>45957</v>
      </c>
      <c r="B156" s="14" t="s">
        <v>85</v>
      </c>
      <c r="C156">
        <v>240</v>
      </c>
      <c r="J156">
        <f>SUM(C156,C157,C158,C159,C160,C161,C162,C163,C164,G165)/60</f>
        <v>9</v>
      </c>
    </row>
    <row r="157" spans="1:11" ht="102">
      <c r="B157" s="14" t="s">
        <v>86</v>
      </c>
      <c r="C157">
        <v>15</v>
      </c>
    </row>
    <row r="158" spans="1:11" ht="153">
      <c r="B158" s="14" t="s">
        <v>87</v>
      </c>
      <c r="C158">
        <v>45</v>
      </c>
    </row>
    <row r="159" spans="1:11" ht="89.25">
      <c r="B159" s="14" t="s">
        <v>88</v>
      </c>
      <c r="C159">
        <v>15</v>
      </c>
    </row>
    <row r="160" spans="1:11" ht="51">
      <c r="B160" s="14" t="s">
        <v>89</v>
      </c>
      <c r="C160">
        <v>45</v>
      </c>
    </row>
    <row r="161" spans="1:11" ht="178.5">
      <c r="B161" s="14" t="s">
        <v>90</v>
      </c>
      <c r="C161">
        <v>30</v>
      </c>
    </row>
    <row r="162" spans="1:11" ht="38.25">
      <c r="B162" s="14" t="s">
        <v>91</v>
      </c>
      <c r="C162">
        <v>15</v>
      </c>
    </row>
    <row r="163" spans="1:11" ht="114.75">
      <c r="B163" s="14" t="s">
        <v>92</v>
      </c>
      <c r="C163">
        <v>15</v>
      </c>
    </row>
    <row r="164" spans="1:11" ht="89.25">
      <c r="B164" s="14" t="s">
        <v>93</v>
      </c>
      <c r="C164">
        <v>30</v>
      </c>
    </row>
    <row r="165" spans="1:11">
      <c r="B165" t="s">
        <v>12</v>
      </c>
      <c r="G165">
        <v>90</v>
      </c>
    </row>
    <row r="166" spans="1:11">
      <c r="A166" s="11"/>
      <c r="B166" s="11"/>
      <c r="C166" s="11"/>
      <c r="D166" s="11"/>
      <c r="E166" s="11"/>
      <c r="F166" s="11"/>
      <c r="G166" s="11"/>
      <c r="H166" s="11"/>
      <c r="I166" s="11"/>
      <c r="J166" s="11"/>
      <c r="K166" s="11"/>
    </row>
    <row r="167" spans="1:11" ht="114.75">
      <c r="A167" s="12">
        <v>45958</v>
      </c>
      <c r="B167" s="14" t="s">
        <v>94</v>
      </c>
      <c r="C167">
        <v>30</v>
      </c>
      <c r="J167">
        <f>SUM(C167,C168,C169,C170,C171,G172)/60</f>
        <v>9</v>
      </c>
    </row>
    <row r="168" spans="1:11" ht="38.25">
      <c r="B168" s="14" t="s">
        <v>95</v>
      </c>
      <c r="C168">
        <v>30</v>
      </c>
    </row>
    <row r="169" spans="1:11" ht="51">
      <c r="B169" s="14" t="s">
        <v>96</v>
      </c>
      <c r="C169">
        <v>270</v>
      </c>
    </row>
    <row r="170" spans="1:11" ht="38.25">
      <c r="B170" s="14" t="s">
        <v>97</v>
      </c>
      <c r="C170">
        <v>30</v>
      </c>
    </row>
    <row r="171" spans="1:11" ht="38.25">
      <c r="B171" s="14" t="s">
        <v>98</v>
      </c>
      <c r="C171">
        <v>120</v>
      </c>
    </row>
    <row r="172" spans="1:11">
      <c r="B172" t="s">
        <v>12</v>
      </c>
      <c r="G172">
        <v>60</v>
      </c>
    </row>
    <row r="173" spans="1:11">
      <c r="A173" s="11"/>
      <c r="B173" s="11"/>
      <c r="C173" s="11"/>
      <c r="D173" s="11"/>
      <c r="E173" s="11"/>
      <c r="F173" s="11"/>
      <c r="G173" s="11"/>
      <c r="H173" s="11"/>
      <c r="I173" s="11"/>
      <c r="J173" s="11"/>
      <c r="K173" s="11"/>
    </row>
    <row r="174" spans="1:11" ht="38.25">
      <c r="A174" s="12">
        <v>45959</v>
      </c>
      <c r="B174" s="14" t="s">
        <v>99</v>
      </c>
      <c r="C174">
        <v>240</v>
      </c>
      <c r="J174">
        <f>SUM(C174,C175,C176,G177)/60</f>
        <v>9</v>
      </c>
    </row>
    <row r="175" spans="1:11" ht="38.25">
      <c r="B175" s="14" t="s">
        <v>100</v>
      </c>
      <c r="C175">
        <v>240</v>
      </c>
    </row>
    <row r="176" spans="1:11" ht="25.5">
      <c r="B176" s="14" t="s">
        <v>101</v>
      </c>
      <c r="C176">
        <v>30</v>
      </c>
    </row>
    <row r="177" spans="1:11">
      <c r="B177" t="s">
        <v>12</v>
      </c>
      <c r="G177">
        <v>30</v>
      </c>
    </row>
    <row r="178" spans="1:11">
      <c r="A178" s="11"/>
      <c r="B178" s="11"/>
      <c r="C178" s="11"/>
      <c r="D178" s="11"/>
      <c r="E178" s="11"/>
      <c r="F178" s="11"/>
      <c r="G178" s="11"/>
      <c r="H178" s="11"/>
      <c r="I178" s="11"/>
      <c r="J178" s="11"/>
      <c r="K178" s="11"/>
    </row>
    <row r="179" spans="1:11" ht="25.5">
      <c r="A179" s="12">
        <v>45960</v>
      </c>
      <c r="B179" s="14" t="s">
        <v>82</v>
      </c>
      <c r="C179">
        <v>540</v>
      </c>
      <c r="J179">
        <f>SUM(C179)/60</f>
        <v>9</v>
      </c>
    </row>
    <row r="180" spans="1:11">
      <c r="A180" s="11"/>
      <c r="B180" s="11"/>
      <c r="C180" s="11"/>
      <c r="D180" s="11"/>
      <c r="E180" s="11"/>
      <c r="F180" s="11"/>
      <c r="G180" s="11"/>
      <c r="H180" s="11"/>
      <c r="I180" s="11"/>
      <c r="J180" s="11"/>
      <c r="K180" s="11"/>
    </row>
    <row r="181" spans="1:11">
      <c r="A181" s="12">
        <v>45964</v>
      </c>
    </row>
  </sheetData>
  <pageMargins left="0.74791666666666667" right="0.74791666666666667" top="0.98402777777777772" bottom="0.98402777777777772" header="0.51111111111111107" footer="0.51111111111111107"/>
  <pageSetup paperSize="256" fitToWidth="0" fitToHeight="0" orientation="portrait"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194F-1E9F-429A-BB1B-F4C562F1B3EB}">
  <dimension ref="A1"/>
  <sheetViews>
    <sheetView zoomScaleSheetLayoutView="100" workbookViewId="0"/>
  </sheetViews>
  <sheetFormatPr defaultColWidth="9.140625" defaultRowHeight="12.75"/>
  <sheetData/>
  <pageMargins left="0.75" right="0.75" top="1" bottom="1" header="0.51111111111111107" footer="0.51111111111111107"/>
  <pageSetup paperSize="9" fitToWidth="0" fitToHeight="0" orientation="portrait" useFirstPageNumber="1" errors="NA"/>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212B-BBD9-4CBC-B3D1-02AF74D32F73}">
  <dimension ref="A1"/>
  <sheetViews>
    <sheetView zoomScaleSheetLayoutView="100" workbookViewId="0"/>
  </sheetViews>
  <sheetFormatPr defaultColWidth="9.140625" defaultRowHeight="12.75"/>
  <sheetData/>
  <pageMargins left="0.75" right="0.75" top="1" bottom="1" header="0.51111111111111107" footer="0.51111111111111107"/>
  <pageSetup paperSize="9" fitToWidth="0" fitToHeight="0" orientation="portrait" useFirstPageNumber="1" errors="NA"/>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 Glaston</dc:creator>
  <cp:keywords/>
  <dc:description/>
  <cp:lastModifiedBy/>
  <cp:revision/>
  <dcterms:created xsi:type="dcterms:W3CDTF">2007-05-17T11:32:03Z</dcterms:created>
  <dcterms:modified xsi:type="dcterms:W3CDTF">2025-12-12T12:23:10Z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1033-9.1.0.4480</vt:lpwstr>
  </property>
</Properties>
</file>